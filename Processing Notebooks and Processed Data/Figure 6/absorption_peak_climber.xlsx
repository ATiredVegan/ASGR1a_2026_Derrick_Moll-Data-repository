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errick/Ludington_Lab/Lipid_extractions/Tabea ASGR_exp/Labeling exp/FIgure6 analysis /"/>
    </mc:Choice>
  </mc:AlternateContent>
  <xr:revisionPtr revIDLastSave="0" documentId="13_ncr:1_{BE0A61C3-C6BF-D34D-8C9D-4CECEF2488F1}" xr6:coauthVersionLast="47" xr6:coauthVersionMax="47" xr10:uidLastSave="{00000000-0000-0000-0000-000000000000}"/>
  <bookViews>
    <workbookView xWindow="0" yWindow="860" windowWidth="28800" windowHeight="15920" xr2:uid="{E62CC307-9E42-D34E-8116-E1BC33F7CC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D17" i="1"/>
  <c r="G8" i="1"/>
  <c r="D8" i="1"/>
  <c r="G6" i="1"/>
  <c r="D6" i="1"/>
  <c r="F8" i="1"/>
  <c r="D9" i="1"/>
  <c r="F9" i="1"/>
  <c r="G9" i="1"/>
  <c r="C10" i="1"/>
  <c r="D10" i="1"/>
  <c r="E10" i="1"/>
  <c r="F10" i="1"/>
  <c r="G10" i="1"/>
  <c r="F5" i="1"/>
  <c r="G5" i="1"/>
  <c r="D5" i="1"/>
  <c r="F6" i="1"/>
  <c r="G7" i="1"/>
  <c r="C7" i="1"/>
  <c r="D7" i="1"/>
  <c r="F7" i="1"/>
  <c r="D2" i="1"/>
  <c r="D12" i="1"/>
  <c r="F17" i="1"/>
  <c r="F15" i="1"/>
  <c r="D15" i="1"/>
  <c r="F16" i="1"/>
  <c r="D16" i="1"/>
  <c r="G16" i="1" s="1"/>
  <c r="F14" i="1"/>
  <c r="D14" i="1"/>
  <c r="G14" i="1" s="1"/>
  <c r="F13" i="1"/>
  <c r="D13" i="1"/>
  <c r="F12" i="1"/>
  <c r="C12" i="1"/>
  <c r="F11" i="1"/>
  <c r="F2" i="1"/>
  <c r="G2" i="1"/>
  <c r="D3" i="1"/>
  <c r="F3" i="1"/>
  <c r="G3" i="1"/>
  <c r="D4" i="1"/>
  <c r="F4" i="1"/>
  <c r="D11" i="1"/>
  <c r="C11" i="1"/>
  <c r="G11" i="1"/>
  <c r="F86" i="2"/>
  <c r="G4" i="1" l="1"/>
  <c r="G12" i="1"/>
  <c r="G13" i="1"/>
  <c r="G15" i="1"/>
</calcChain>
</file>

<file path=xl/sharedStrings.xml><?xml version="1.0" encoding="utf-8"?>
<sst xmlns="http://schemas.openxmlformats.org/spreadsheetml/2006/main" count="203" uniqueCount="22">
  <si>
    <t>Peak Number</t>
  </si>
  <si>
    <t>Retention time</t>
  </si>
  <si>
    <t>Area</t>
  </si>
  <si>
    <t>Genotype</t>
  </si>
  <si>
    <t>Replicate</t>
  </si>
  <si>
    <t>AB</t>
  </si>
  <si>
    <t>Intestine CE</t>
  </si>
  <si>
    <t>Intestine CH</t>
  </si>
  <si>
    <t>Liver CE</t>
  </si>
  <si>
    <t>Liver CH</t>
  </si>
  <si>
    <t>Total CH</t>
  </si>
  <si>
    <t>Tissue</t>
  </si>
  <si>
    <t>Intestine</t>
  </si>
  <si>
    <t>Liver</t>
  </si>
  <si>
    <t>asgr1</t>
  </si>
  <si>
    <t>CAD liver total</t>
  </si>
  <si>
    <t>35 minute CAD liver</t>
  </si>
  <si>
    <t>45 minute CAD liver</t>
  </si>
  <si>
    <t>CAD intestine total</t>
  </si>
  <si>
    <t>35 minute CAD intestine</t>
  </si>
  <si>
    <t>45 minute CAD intestine</t>
  </si>
  <si>
    <t>asgr$^{c830/c830}$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</si>
</sst>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90BC-92DD-FD49-AF96-13E981EB72F0}">
  <dimension ref="A1:M27"/>
  <sheetViews>
    <sheetView tabSelected="1" workbookViewId="0">
      <selection activeCell="N2" sqref="N2:N16"/>
    </sheetView>
  </sheetViews>
  <sheetFormatPr baseColWidth="10" defaultRowHeight="16" x14ac:dyDescent="0.2"/>
  <cols>
    <col min="4" max="4" width="11.6640625" bestFit="1" customWidth="1"/>
    <col min="8" max="8" width="22" customWidth="1"/>
    <col min="9" max="9" width="21" customWidth="1"/>
    <col min="12" max="12" width="25.1640625" customWidth="1"/>
    <col min="13" max="13" width="22.1640625" customWidth="1"/>
  </cols>
  <sheetData>
    <row r="1" spans="1:13" x14ac:dyDescent="0.2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2">
      <c r="A2" t="s">
        <v>5</v>
      </c>
      <c r="B2">
        <v>2</v>
      </c>
      <c r="C2">
        <v>1415600.129</v>
      </c>
      <c r="D2">
        <f>7066533*80</f>
        <v>565322640</v>
      </c>
      <c r="E2">
        <v>16000</v>
      </c>
      <c r="F2">
        <f>161885*16</f>
        <v>2590160</v>
      </c>
      <c r="G2">
        <f t="shared" ref="G2:G8" si="0">SUM(C2:F2)</f>
        <v>569344400.12899995</v>
      </c>
      <c r="I2">
        <v>12.35</v>
      </c>
      <c r="J2">
        <v>3</v>
      </c>
      <c r="L2">
        <v>54.1</v>
      </c>
      <c r="M2">
        <v>9.5399999999999991</v>
      </c>
    </row>
    <row r="3" spans="1:13" x14ac:dyDescent="0.2">
      <c r="A3" t="s">
        <v>5</v>
      </c>
      <c r="B3">
        <v>3</v>
      </c>
      <c r="C3">
        <v>931567.63859819004</v>
      </c>
      <c r="D3">
        <f>312800*320</f>
        <v>100096000</v>
      </c>
      <c r="E3">
        <v>0</v>
      </c>
      <c r="F3">
        <f>20000*16</f>
        <v>320000</v>
      </c>
      <c r="G3">
        <f t="shared" si="0"/>
        <v>101347567.63859819</v>
      </c>
      <c r="I3">
        <v>13.01</v>
      </c>
      <c r="J3">
        <v>2.16</v>
      </c>
      <c r="L3">
        <v>57</v>
      </c>
      <c r="M3">
        <v>8.3559999999999999</v>
      </c>
    </row>
    <row r="4" spans="1:13" x14ac:dyDescent="0.2">
      <c r="A4" t="s">
        <v>5</v>
      </c>
      <c r="B4">
        <v>4</v>
      </c>
      <c r="C4">
        <v>5111169.6718766317</v>
      </c>
      <c r="D4">
        <f>1177800*320</f>
        <v>376896000</v>
      </c>
      <c r="E4">
        <v>47432</v>
      </c>
      <c r="F4">
        <f>274289*16</f>
        <v>4388624</v>
      </c>
      <c r="G4">
        <f t="shared" si="0"/>
        <v>386443225.67187661</v>
      </c>
      <c r="I4">
        <v>13.4</v>
      </c>
      <c r="J4">
        <v>1.48</v>
      </c>
      <c r="L4">
        <v>110.52</v>
      </c>
      <c r="M4">
        <v>22.1</v>
      </c>
    </row>
    <row r="5" spans="1:13" x14ac:dyDescent="0.2">
      <c r="A5" t="s">
        <v>5</v>
      </c>
      <c r="B5">
        <v>5</v>
      </c>
      <c r="C5">
        <v>3437579.5355127677</v>
      </c>
      <c r="D5">
        <f>1313743*320</f>
        <v>420397760</v>
      </c>
      <c r="E5">
        <v>51062</v>
      </c>
      <c r="F5">
        <f>5234254*4</f>
        <v>20937016</v>
      </c>
      <c r="G5">
        <f t="shared" si="0"/>
        <v>444823417.53551275</v>
      </c>
      <c r="I5">
        <v>25.89</v>
      </c>
      <c r="J5">
        <v>1.72</v>
      </c>
      <c r="L5">
        <v>107</v>
      </c>
      <c r="M5">
        <v>19.34</v>
      </c>
    </row>
    <row r="6" spans="1:13" x14ac:dyDescent="0.2">
      <c r="A6" t="s">
        <v>5</v>
      </c>
      <c r="B6">
        <v>6</v>
      </c>
      <c r="C6">
        <v>1482987.8984344641</v>
      </c>
      <c r="D6" s="4">
        <f>4471685.628*640</f>
        <v>2861878801.9199996</v>
      </c>
      <c r="E6">
        <v>0</v>
      </c>
      <c r="F6">
        <f>2388309*8</f>
        <v>19106472</v>
      </c>
      <c r="G6">
        <f t="shared" si="0"/>
        <v>2882468261.8184342</v>
      </c>
      <c r="I6">
        <v>30.914000000000001</v>
      </c>
      <c r="J6">
        <v>3.7749999999999999</v>
      </c>
      <c r="L6">
        <v>200</v>
      </c>
      <c r="M6">
        <v>54.26</v>
      </c>
    </row>
    <row r="7" spans="1:13" ht="18" x14ac:dyDescent="0.25">
      <c r="A7" t="s">
        <v>5</v>
      </c>
      <c r="B7">
        <v>7</v>
      </c>
      <c r="C7">
        <f>483232.6058*10</f>
        <v>4832326.0580000002</v>
      </c>
      <c r="D7">
        <f>4834110*80</f>
        <v>386728800</v>
      </c>
      <c r="E7">
        <v>51075.258199510936</v>
      </c>
      <c r="F7" s="2">
        <f>833930*8</f>
        <v>6671440</v>
      </c>
      <c r="G7">
        <f t="shared" si="0"/>
        <v>398283641.31619954</v>
      </c>
      <c r="I7">
        <v>16.614000000000001</v>
      </c>
      <c r="J7">
        <v>2.758</v>
      </c>
      <c r="L7">
        <v>103.16</v>
      </c>
      <c r="M7">
        <v>18.43</v>
      </c>
    </row>
    <row r="8" spans="1:13" x14ac:dyDescent="0.2">
      <c r="A8" t="s">
        <v>5</v>
      </c>
      <c r="B8">
        <v>8</v>
      </c>
      <c r="C8">
        <v>3790232.8040256957</v>
      </c>
      <c r="D8" s="4">
        <f>1135812*320</f>
        <v>363459840</v>
      </c>
      <c r="E8">
        <v>0</v>
      </c>
      <c r="F8">
        <f>1947304.074375*8</f>
        <v>15578432.595000001</v>
      </c>
      <c r="G8">
        <f t="shared" si="0"/>
        <v>382828505.39902574</v>
      </c>
      <c r="I8">
        <v>21.42</v>
      </c>
      <c r="J8">
        <v>4.1100000000000003</v>
      </c>
      <c r="L8">
        <v>68.7</v>
      </c>
      <c r="M8">
        <v>25.23</v>
      </c>
    </row>
    <row r="9" spans="1:13" x14ac:dyDescent="0.2">
      <c r="A9" t="s">
        <v>5</v>
      </c>
      <c r="B9">
        <v>9</v>
      </c>
      <c r="C9">
        <v>5221915.9087601881</v>
      </c>
      <c r="D9">
        <f>6723362*80</f>
        <v>537868960</v>
      </c>
      <c r="E9">
        <v>0</v>
      </c>
      <c r="F9">
        <f>256768*8</f>
        <v>2054144</v>
      </c>
      <c r="G9">
        <f>SUM(C9:F9)</f>
        <v>545145019.90876019</v>
      </c>
      <c r="I9">
        <v>10.8</v>
      </c>
      <c r="J9">
        <v>1.37</v>
      </c>
      <c r="L9">
        <v>102.8</v>
      </c>
      <c r="M9">
        <v>24.4</v>
      </c>
    </row>
    <row r="10" spans="1:13" ht="18" x14ac:dyDescent="0.25">
      <c r="A10" t="s">
        <v>5</v>
      </c>
      <c r="B10">
        <v>10</v>
      </c>
      <c r="C10">
        <f>395566.014892993*10</f>
        <v>3955660.1489299298</v>
      </c>
      <c r="D10">
        <f>3668866.422*80</f>
        <v>293509313.75999999</v>
      </c>
      <c r="E10">
        <f>159945.737571337</f>
        <v>159945.737571337</v>
      </c>
      <c r="F10" s="2">
        <f>1947304*8</f>
        <v>15578432</v>
      </c>
      <c r="G10">
        <f>SUM(C10:F10)</f>
        <v>313203351.6465013</v>
      </c>
      <c r="I10">
        <v>24.998000000000001</v>
      </c>
      <c r="J10">
        <v>4.9400000000000004</v>
      </c>
      <c r="L10">
        <v>67.989999999999995</v>
      </c>
      <c r="M10">
        <v>23.11</v>
      </c>
    </row>
    <row r="11" spans="1:13" x14ac:dyDescent="0.2">
      <c r="A11" t="s">
        <v>21</v>
      </c>
      <c r="B11">
        <v>1</v>
      </c>
      <c r="C11">
        <f>346290.666142625</f>
        <v>346290.66614262498</v>
      </c>
      <c r="D11">
        <f>1138469.281*320</f>
        <v>364310169.91999996</v>
      </c>
      <c r="E11">
        <v>47909</v>
      </c>
      <c r="F11">
        <f>301813.64*16</f>
        <v>4829018.24</v>
      </c>
      <c r="G11">
        <f>SUM(C11:F11)</f>
        <v>369533387.82614261</v>
      </c>
      <c r="I11">
        <v>57.49</v>
      </c>
      <c r="J11">
        <v>6.4470000000000001</v>
      </c>
      <c r="L11">
        <v>139.47</v>
      </c>
      <c r="M11">
        <v>48.97</v>
      </c>
    </row>
    <row r="12" spans="1:13" ht="18" x14ac:dyDescent="0.25">
      <c r="A12" t="s">
        <v>21</v>
      </c>
      <c r="B12">
        <v>3</v>
      </c>
      <c r="C12">
        <f>2984137.119</f>
        <v>2984137.1189999999</v>
      </c>
      <c r="D12" s="2">
        <f>7190876*80</f>
        <v>575270080</v>
      </c>
      <c r="E12" s="3">
        <v>25000</v>
      </c>
      <c r="F12">
        <f>123168*16</f>
        <v>1970688</v>
      </c>
      <c r="G12">
        <f>SUM(C12:F12)</f>
        <v>580249905.11899996</v>
      </c>
      <c r="I12">
        <v>15.81</v>
      </c>
      <c r="J12">
        <v>3.3</v>
      </c>
      <c r="L12">
        <v>95.28</v>
      </c>
      <c r="M12">
        <v>24.31</v>
      </c>
    </row>
    <row r="13" spans="1:13" x14ac:dyDescent="0.2">
      <c r="A13" t="s">
        <v>21</v>
      </c>
      <c r="B13">
        <v>4</v>
      </c>
      <c r="C13">
        <v>296409.07667490089</v>
      </c>
      <c r="D13">
        <f>44311435.7333333</f>
        <v>44311435.733333297</v>
      </c>
      <c r="E13">
        <v>3028</v>
      </c>
      <c r="F13">
        <f>741731.946666666</f>
        <v>741731.94666666596</v>
      </c>
      <c r="G13">
        <f>SUM(C13:F13)</f>
        <v>45352604.756674863</v>
      </c>
      <c r="I13">
        <v>39.220999999999997</v>
      </c>
      <c r="J13">
        <v>8.64</v>
      </c>
      <c r="L13">
        <v>89.97</v>
      </c>
      <c r="M13">
        <v>47.38</v>
      </c>
    </row>
    <row r="14" spans="1:13" ht="18" x14ac:dyDescent="0.25">
      <c r="A14" t="s">
        <v>21</v>
      </c>
      <c r="B14">
        <v>5</v>
      </c>
      <c r="C14">
        <v>95609.622351293059</v>
      </c>
      <c r="D14" s="2">
        <f>9777960.21333333</f>
        <v>9777960.2133333292</v>
      </c>
      <c r="E14">
        <v>3456</v>
      </c>
      <c r="F14">
        <f>36693*16</f>
        <v>587088</v>
      </c>
      <c r="G14">
        <f>SUM(C14:E14)</f>
        <v>9877025.8356846217</v>
      </c>
      <c r="I14">
        <v>17</v>
      </c>
      <c r="J14">
        <v>4.95</v>
      </c>
      <c r="L14">
        <v>64.900000000000006</v>
      </c>
      <c r="M14">
        <v>22.9</v>
      </c>
    </row>
    <row r="15" spans="1:13" x14ac:dyDescent="0.2">
      <c r="A15" t="s">
        <v>21</v>
      </c>
      <c r="B15">
        <v>6</v>
      </c>
      <c r="C15">
        <v>7514009.46806035</v>
      </c>
      <c r="D15">
        <f>7252863*320</f>
        <v>2320916160</v>
      </c>
      <c r="E15">
        <v>0</v>
      </c>
      <c r="F15">
        <f>(27922+78364)*8</f>
        <v>850288</v>
      </c>
      <c r="G15">
        <f>SUM(C15:E15)</f>
        <v>2328430169.4680605</v>
      </c>
      <c r="I15">
        <v>34.6</v>
      </c>
      <c r="J15">
        <v>3.7549999999999999</v>
      </c>
      <c r="L15">
        <v>94</v>
      </c>
      <c r="M15">
        <v>32</v>
      </c>
    </row>
    <row r="16" spans="1:13" x14ac:dyDescent="0.2">
      <c r="A16" t="s">
        <v>21</v>
      </c>
      <c r="B16">
        <v>7</v>
      </c>
      <c r="C16">
        <v>3515033.3769998793</v>
      </c>
      <c r="D16">
        <f>4689678.646*32</f>
        <v>150069716.67199999</v>
      </c>
      <c r="E16">
        <v>0</v>
      </c>
      <c r="F16">
        <f>49639*32</f>
        <v>1588448</v>
      </c>
      <c r="G16">
        <f>SUM(C16:E16)</f>
        <v>153584750.04899988</v>
      </c>
      <c r="I16">
        <v>15.85</v>
      </c>
      <c r="J16">
        <v>3.87</v>
      </c>
      <c r="L16">
        <v>75.5</v>
      </c>
      <c r="M16">
        <v>45</v>
      </c>
    </row>
    <row r="17" spans="1:13" x14ac:dyDescent="0.2">
      <c r="A17" t="s">
        <v>21</v>
      </c>
      <c r="B17">
        <v>8</v>
      </c>
      <c r="C17">
        <v>4094366.638031851</v>
      </c>
      <c r="D17" s="4">
        <f>128768*6400</f>
        <v>824115200</v>
      </c>
      <c r="E17">
        <v>0</v>
      </c>
      <c r="F17">
        <f>355193*8</f>
        <v>2841544</v>
      </c>
      <c r="G17">
        <f>SUM(C17:E17)</f>
        <v>828209566.63803184</v>
      </c>
      <c r="I17">
        <v>25.9</v>
      </c>
      <c r="J17">
        <v>6.8</v>
      </c>
      <c r="L17">
        <v>63.53</v>
      </c>
      <c r="M17">
        <v>49.49</v>
      </c>
    </row>
    <row r="27" spans="1:13" ht="18" x14ac:dyDescent="0.25">
      <c r="D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E081-C5C5-3F4F-8093-DA9560E59E46}">
  <dimension ref="A1:F86"/>
  <sheetViews>
    <sheetView workbookViewId="0">
      <selection activeCell="F86" sqref="F86"/>
    </sheetView>
  </sheetViews>
  <sheetFormatPr baseColWidth="10" defaultRowHeight="16" x14ac:dyDescent="0.2"/>
  <sheetData>
    <row r="1" spans="1:6" x14ac:dyDescent="0.2">
      <c r="A1" t="s">
        <v>3</v>
      </c>
      <c r="B1" t="s">
        <v>4</v>
      </c>
      <c r="C1" t="s">
        <v>11</v>
      </c>
      <c r="D1" t="s">
        <v>0</v>
      </c>
      <c r="E1" t="s">
        <v>1</v>
      </c>
      <c r="F1" t="s">
        <v>2</v>
      </c>
    </row>
    <row r="2" spans="1:6" x14ac:dyDescent="0.2">
      <c r="A2" t="s">
        <v>5</v>
      </c>
      <c r="B2">
        <v>1</v>
      </c>
      <c r="C2" s="1" t="s">
        <v>12</v>
      </c>
      <c r="D2" s="1">
        <v>0</v>
      </c>
      <c r="E2" s="1">
        <v>41.803167000000002</v>
      </c>
      <c r="F2" s="1">
        <v>4201.4098199999999</v>
      </c>
    </row>
    <row r="3" spans="1:6" x14ac:dyDescent="0.2">
      <c r="A3" t="s">
        <v>5</v>
      </c>
      <c r="B3">
        <v>1</v>
      </c>
      <c r="C3" s="1" t="s">
        <v>12</v>
      </c>
      <c r="D3" s="1">
        <v>1</v>
      </c>
      <c r="E3" s="1">
        <v>44.434966099999997</v>
      </c>
      <c r="F3" s="1">
        <v>5465.8932100000002</v>
      </c>
    </row>
    <row r="4" spans="1:6" x14ac:dyDescent="0.2">
      <c r="A4" t="s">
        <v>5</v>
      </c>
      <c r="B4">
        <v>1</v>
      </c>
      <c r="C4" s="1" t="s">
        <v>12</v>
      </c>
      <c r="D4" s="1">
        <v>2</v>
      </c>
      <c r="E4" s="1">
        <v>45.954543999999999</v>
      </c>
      <c r="F4" s="1">
        <v>3200.9840100000001</v>
      </c>
    </row>
    <row r="5" spans="1:6" x14ac:dyDescent="0.2">
      <c r="A5" t="s">
        <v>5</v>
      </c>
      <c r="B5">
        <v>1</v>
      </c>
      <c r="C5" s="1" t="s">
        <v>12</v>
      </c>
      <c r="D5" s="1">
        <v>3</v>
      </c>
      <c r="E5" s="1">
        <v>46.449703599999999</v>
      </c>
      <c r="F5" s="1">
        <v>5812.7609000000002</v>
      </c>
    </row>
    <row r="6" spans="1:6" x14ac:dyDescent="0.2">
      <c r="A6" t="s">
        <v>5</v>
      </c>
      <c r="B6">
        <v>1</v>
      </c>
      <c r="C6" s="1" t="s">
        <v>12</v>
      </c>
      <c r="D6" s="1">
        <v>4</v>
      </c>
      <c r="E6" s="1">
        <v>47.254392899999999</v>
      </c>
      <c r="F6" s="1">
        <v>9397.1210499999997</v>
      </c>
    </row>
    <row r="7" spans="1:6" x14ac:dyDescent="0.2">
      <c r="A7" t="s">
        <v>5</v>
      </c>
      <c r="B7">
        <v>1</v>
      </c>
      <c r="C7" s="1" t="s">
        <v>12</v>
      </c>
      <c r="D7" s="1">
        <v>5</v>
      </c>
      <c r="E7" s="1">
        <v>47.844627099999997</v>
      </c>
      <c r="F7" s="1">
        <v>11013.273999999999</v>
      </c>
    </row>
    <row r="8" spans="1:6" x14ac:dyDescent="0.2">
      <c r="A8" t="s">
        <v>5</v>
      </c>
      <c r="B8">
        <v>1</v>
      </c>
      <c r="C8" s="1" t="s">
        <v>12</v>
      </c>
      <c r="D8" s="1">
        <v>6</v>
      </c>
      <c r="E8" s="1">
        <v>49.509238600000003</v>
      </c>
      <c r="F8" s="1">
        <v>46278.8531</v>
      </c>
    </row>
    <row r="9" spans="1:6" x14ac:dyDescent="0.2">
      <c r="A9" t="s">
        <v>5</v>
      </c>
      <c r="B9">
        <v>1</v>
      </c>
      <c r="C9" s="1" t="s">
        <v>12</v>
      </c>
      <c r="D9" s="1">
        <v>7</v>
      </c>
      <c r="E9" s="1">
        <v>52.431225499999996</v>
      </c>
      <c r="F9" s="1">
        <v>23872.624400000001</v>
      </c>
    </row>
    <row r="10" spans="1:6" x14ac:dyDescent="0.2">
      <c r="A10" t="s">
        <v>5</v>
      </c>
      <c r="B10">
        <v>1</v>
      </c>
      <c r="C10" s="1" t="s">
        <v>12</v>
      </c>
      <c r="D10" s="1">
        <v>8</v>
      </c>
      <c r="E10" s="1">
        <v>53.022982300000002</v>
      </c>
      <c r="F10" s="1">
        <v>5815.1742100000001</v>
      </c>
    </row>
    <row r="11" spans="1:6" x14ac:dyDescent="0.2">
      <c r="A11" t="s">
        <v>5</v>
      </c>
      <c r="B11">
        <v>1</v>
      </c>
      <c r="C11" s="1" t="s">
        <v>12</v>
      </c>
      <c r="D11" s="1">
        <v>9</v>
      </c>
      <c r="E11" s="1">
        <v>56.952528700000002</v>
      </c>
      <c r="F11" s="1">
        <v>13001.928400000001</v>
      </c>
    </row>
    <row r="12" spans="1:6" x14ac:dyDescent="0.2">
      <c r="A12" t="s">
        <v>5</v>
      </c>
      <c r="B12">
        <v>3</v>
      </c>
      <c r="C12" s="1" t="s">
        <v>12</v>
      </c>
      <c r="D12">
        <v>0</v>
      </c>
      <c r="E12">
        <v>41.000649285976998</v>
      </c>
      <c r="F12">
        <v>17255.5294769051</v>
      </c>
    </row>
    <row r="13" spans="1:6" x14ac:dyDescent="0.2">
      <c r="A13" t="s">
        <v>5</v>
      </c>
      <c r="B13">
        <v>3</v>
      </c>
      <c r="C13" s="1" t="s">
        <v>12</v>
      </c>
      <c r="D13">
        <v>1</v>
      </c>
      <c r="E13">
        <v>41.839982999996899</v>
      </c>
      <c r="F13">
        <v>11855.5338557337</v>
      </c>
    </row>
    <row r="14" spans="1:6" x14ac:dyDescent="0.2">
      <c r="A14" t="s">
        <v>5</v>
      </c>
      <c r="B14">
        <v>3</v>
      </c>
      <c r="C14" s="1" t="s">
        <v>12</v>
      </c>
      <c r="D14">
        <v>2</v>
      </c>
      <c r="E14">
        <v>44.552693010431</v>
      </c>
      <c r="F14">
        <v>11376.0995980636</v>
      </c>
    </row>
    <row r="15" spans="1:6" x14ac:dyDescent="0.2">
      <c r="A15" t="s">
        <v>5</v>
      </c>
      <c r="B15">
        <v>3</v>
      </c>
      <c r="C15" s="1" t="s">
        <v>12</v>
      </c>
      <c r="D15">
        <v>3</v>
      </c>
      <c r="E15">
        <v>45.057126723836198</v>
      </c>
      <c r="F15">
        <v>3319.76215058356</v>
      </c>
    </row>
    <row r="16" spans="1:6" x14ac:dyDescent="0.2">
      <c r="A16" t="s">
        <v>5</v>
      </c>
      <c r="B16">
        <v>3</v>
      </c>
      <c r="C16" s="1" t="s">
        <v>12</v>
      </c>
      <c r="D16">
        <v>4</v>
      </c>
      <c r="E16">
        <v>45.930610156562601</v>
      </c>
      <c r="F16">
        <v>30483.2145251535</v>
      </c>
    </row>
    <row r="17" spans="1:6" x14ac:dyDescent="0.2">
      <c r="A17" t="s">
        <v>5</v>
      </c>
      <c r="B17">
        <v>3</v>
      </c>
      <c r="C17" s="1" t="s">
        <v>12</v>
      </c>
      <c r="D17">
        <v>5</v>
      </c>
      <c r="E17">
        <v>46.466545578061996</v>
      </c>
      <c r="F17">
        <v>57968.6579620907</v>
      </c>
    </row>
    <row r="18" spans="1:6" x14ac:dyDescent="0.2">
      <c r="A18" t="s">
        <v>5</v>
      </c>
      <c r="B18">
        <v>3</v>
      </c>
      <c r="C18" s="1" t="s">
        <v>12</v>
      </c>
      <c r="D18">
        <v>6</v>
      </c>
      <c r="E18">
        <v>47.4533169999739</v>
      </c>
      <c r="F18">
        <v>105063.82767791901</v>
      </c>
    </row>
    <row r="19" spans="1:6" x14ac:dyDescent="0.2">
      <c r="A19" t="s">
        <v>5</v>
      </c>
      <c r="B19">
        <v>3</v>
      </c>
      <c r="C19" s="1" t="s">
        <v>12</v>
      </c>
      <c r="D19">
        <v>7</v>
      </c>
      <c r="E19">
        <v>47.870475702398203</v>
      </c>
      <c r="F19">
        <v>137657.265167623</v>
      </c>
    </row>
    <row r="20" spans="1:6" x14ac:dyDescent="0.2">
      <c r="A20" t="s">
        <v>5</v>
      </c>
      <c r="B20">
        <v>3</v>
      </c>
      <c r="C20" s="1" t="s">
        <v>12</v>
      </c>
      <c r="D20">
        <v>8</v>
      </c>
      <c r="E20">
        <v>49.517023621400902</v>
      </c>
      <c r="F20">
        <v>272475.35424107098</v>
      </c>
    </row>
    <row r="21" spans="1:6" x14ac:dyDescent="0.2">
      <c r="A21" t="s">
        <v>5</v>
      </c>
      <c r="B21">
        <v>3</v>
      </c>
      <c r="C21" s="1" t="s">
        <v>12</v>
      </c>
      <c r="D21">
        <v>9</v>
      </c>
      <c r="E21">
        <v>52.441489714205403</v>
      </c>
      <c r="F21">
        <v>136684.50233025599</v>
      </c>
    </row>
    <row r="22" spans="1:6" x14ac:dyDescent="0.2">
      <c r="A22" t="s">
        <v>5</v>
      </c>
      <c r="B22">
        <v>3</v>
      </c>
      <c r="C22" s="1" t="s">
        <v>12</v>
      </c>
      <c r="D22">
        <v>10</v>
      </c>
      <c r="E22">
        <v>53.007041902037898</v>
      </c>
      <c r="F22">
        <v>43651.170571048897</v>
      </c>
    </row>
    <row r="23" spans="1:6" x14ac:dyDescent="0.2">
      <c r="A23" t="s">
        <v>5</v>
      </c>
      <c r="B23">
        <v>3</v>
      </c>
      <c r="C23" s="1" t="s">
        <v>12</v>
      </c>
      <c r="D23">
        <v>11</v>
      </c>
      <c r="E23">
        <v>56.135576961842901</v>
      </c>
      <c r="F23">
        <v>7234.3663451377397</v>
      </c>
    </row>
    <row r="24" spans="1:6" x14ac:dyDescent="0.2">
      <c r="A24" t="s">
        <v>5</v>
      </c>
      <c r="B24">
        <v>3</v>
      </c>
      <c r="C24" s="1" t="s">
        <v>12</v>
      </c>
      <c r="D24">
        <v>12</v>
      </c>
      <c r="E24">
        <v>56.972720019713002</v>
      </c>
      <c r="F24">
        <v>101041.497393286</v>
      </c>
    </row>
    <row r="25" spans="1:6" x14ac:dyDescent="0.2">
      <c r="A25" t="s">
        <v>5</v>
      </c>
      <c r="B25">
        <v>4</v>
      </c>
      <c r="C25" s="1" t="s">
        <v>12</v>
      </c>
      <c r="D25">
        <v>0</v>
      </c>
      <c r="E25">
        <v>40.856700004841699</v>
      </c>
      <c r="F25">
        <v>190723.57902592301</v>
      </c>
    </row>
    <row r="26" spans="1:6" x14ac:dyDescent="0.2">
      <c r="A26" t="s">
        <v>5</v>
      </c>
      <c r="B26">
        <v>4</v>
      </c>
      <c r="C26" s="1" t="s">
        <v>12</v>
      </c>
      <c r="D26">
        <v>1</v>
      </c>
      <c r="E26">
        <v>41.724952019364103</v>
      </c>
      <c r="F26">
        <v>206391.66857836299</v>
      </c>
    </row>
    <row r="27" spans="1:6" x14ac:dyDescent="0.2">
      <c r="A27" t="s">
        <v>5</v>
      </c>
      <c r="B27">
        <v>4</v>
      </c>
      <c r="C27" s="1" t="s">
        <v>12</v>
      </c>
      <c r="D27">
        <v>2</v>
      </c>
      <c r="E27">
        <v>44.514673429024803</v>
      </c>
      <c r="F27">
        <v>280230.46494165203</v>
      </c>
    </row>
    <row r="28" spans="1:6" x14ac:dyDescent="0.2">
      <c r="A28" t="s">
        <v>5</v>
      </c>
      <c r="B28">
        <v>4</v>
      </c>
      <c r="C28" s="1" t="s">
        <v>12</v>
      </c>
      <c r="D28">
        <v>3</v>
      </c>
      <c r="E28">
        <v>45.947219340760903</v>
      </c>
      <c r="F28">
        <v>87119.2682324778</v>
      </c>
    </row>
    <row r="29" spans="1:6" x14ac:dyDescent="0.2">
      <c r="A29" t="s">
        <v>5</v>
      </c>
      <c r="B29">
        <v>4</v>
      </c>
      <c r="C29" s="1" t="s">
        <v>12</v>
      </c>
      <c r="D29">
        <v>4</v>
      </c>
      <c r="E29">
        <v>46.479705203461698</v>
      </c>
      <c r="F29">
        <v>88504.868700437495</v>
      </c>
    </row>
    <row r="30" spans="1:6" x14ac:dyDescent="0.2">
      <c r="A30" t="s">
        <v>5</v>
      </c>
      <c r="B30">
        <v>4</v>
      </c>
      <c r="C30" s="1" t="s">
        <v>12</v>
      </c>
      <c r="D30">
        <v>5</v>
      </c>
      <c r="E30">
        <v>47.271504082784702</v>
      </c>
      <c r="F30">
        <v>349802.62012045103</v>
      </c>
    </row>
    <row r="31" spans="1:6" x14ac:dyDescent="0.2">
      <c r="A31" t="s">
        <v>5</v>
      </c>
      <c r="B31">
        <v>4</v>
      </c>
      <c r="C31" s="1" t="s">
        <v>12</v>
      </c>
      <c r="D31">
        <v>6</v>
      </c>
      <c r="E31">
        <v>47.898387482237503</v>
      </c>
      <c r="F31">
        <v>425622.27655846998</v>
      </c>
    </row>
    <row r="32" spans="1:6" x14ac:dyDescent="0.2">
      <c r="A32" t="s">
        <v>5</v>
      </c>
      <c r="B32">
        <v>4</v>
      </c>
      <c r="C32" s="1" t="s">
        <v>12</v>
      </c>
      <c r="D32">
        <v>7</v>
      </c>
      <c r="E32">
        <v>49.521907468833902</v>
      </c>
      <c r="F32">
        <v>1763488.3449544101</v>
      </c>
    </row>
    <row r="33" spans="1:6" x14ac:dyDescent="0.2">
      <c r="A33" t="s">
        <v>5</v>
      </c>
      <c r="B33">
        <v>4</v>
      </c>
      <c r="C33" s="1" t="s">
        <v>12</v>
      </c>
      <c r="D33">
        <v>8</v>
      </c>
      <c r="E33">
        <v>52.440364960926203</v>
      </c>
      <c r="F33">
        <v>991671.46448804601</v>
      </c>
    </row>
    <row r="34" spans="1:6" x14ac:dyDescent="0.2">
      <c r="A34" t="s">
        <v>5</v>
      </c>
      <c r="B34">
        <v>4</v>
      </c>
      <c r="C34" s="1" t="s">
        <v>12</v>
      </c>
      <c r="D34">
        <v>9</v>
      </c>
      <c r="E34">
        <v>53.005333093547499</v>
      </c>
      <c r="F34">
        <v>281618.965630138</v>
      </c>
    </row>
    <row r="35" spans="1:6" x14ac:dyDescent="0.2">
      <c r="A35" t="s">
        <v>5</v>
      </c>
      <c r="B35">
        <v>4</v>
      </c>
      <c r="C35" s="1" t="s">
        <v>12</v>
      </c>
      <c r="D35">
        <v>10</v>
      </c>
      <c r="E35">
        <v>57.001441638409503</v>
      </c>
      <c r="F35">
        <v>445996.15064626298</v>
      </c>
    </row>
    <row r="36" spans="1:6" x14ac:dyDescent="0.2">
      <c r="A36" t="s">
        <v>5</v>
      </c>
      <c r="B36">
        <v>4</v>
      </c>
      <c r="C36" s="1" t="s">
        <v>13</v>
      </c>
      <c r="D36">
        <v>0</v>
      </c>
      <c r="E36">
        <v>41.953149978206902</v>
      </c>
      <c r="F36">
        <v>3339.0405895048798</v>
      </c>
    </row>
    <row r="37" spans="1:6" x14ac:dyDescent="0.2">
      <c r="A37" t="s">
        <v>5</v>
      </c>
      <c r="B37">
        <v>4</v>
      </c>
      <c r="C37" s="1" t="s">
        <v>13</v>
      </c>
      <c r="D37">
        <v>1</v>
      </c>
      <c r="E37">
        <v>44.498606605936899</v>
      </c>
      <c r="F37">
        <v>2344.5353625789999</v>
      </c>
    </row>
    <row r="38" spans="1:6" x14ac:dyDescent="0.2">
      <c r="A38" t="s">
        <v>5</v>
      </c>
      <c r="B38">
        <v>4</v>
      </c>
      <c r="C38" s="1" t="s">
        <v>13</v>
      </c>
      <c r="D38">
        <v>2</v>
      </c>
      <c r="E38">
        <v>46.6064829999411</v>
      </c>
      <c r="F38">
        <v>6350.6771245876398</v>
      </c>
    </row>
    <row r="39" spans="1:6" x14ac:dyDescent="0.2">
      <c r="A39" t="s">
        <v>5</v>
      </c>
      <c r="B39">
        <v>4</v>
      </c>
      <c r="C39" s="1" t="s">
        <v>13</v>
      </c>
      <c r="D39">
        <v>3</v>
      </c>
      <c r="E39">
        <v>48.003094497640902</v>
      </c>
      <c r="F39">
        <v>5600.7520450851198</v>
      </c>
    </row>
    <row r="40" spans="1:6" x14ac:dyDescent="0.2">
      <c r="A40" t="s">
        <v>5</v>
      </c>
      <c r="B40">
        <v>4</v>
      </c>
      <c r="C40" s="1" t="s">
        <v>13</v>
      </c>
      <c r="D40">
        <v>4</v>
      </c>
      <c r="E40">
        <v>49.581033505520999</v>
      </c>
      <c r="F40">
        <v>13807.946354780301</v>
      </c>
    </row>
    <row r="41" spans="1:6" x14ac:dyDescent="0.2">
      <c r="A41" t="s">
        <v>5</v>
      </c>
      <c r="B41">
        <v>4</v>
      </c>
      <c r="C41" s="1" t="s">
        <v>13</v>
      </c>
      <c r="D41">
        <v>5</v>
      </c>
      <c r="E41">
        <v>52.489817000162802</v>
      </c>
      <c r="F41">
        <v>11202.5716959445</v>
      </c>
    </row>
    <row r="42" spans="1:6" x14ac:dyDescent="0.2">
      <c r="A42" t="s">
        <v>5</v>
      </c>
      <c r="B42">
        <v>4</v>
      </c>
      <c r="C42" s="1" t="s">
        <v>13</v>
      </c>
      <c r="D42">
        <v>6</v>
      </c>
      <c r="E42">
        <v>57.002813353081798</v>
      </c>
      <c r="F42">
        <v>4786.8794558302297</v>
      </c>
    </row>
    <row r="43" spans="1:6" x14ac:dyDescent="0.2">
      <c r="A43" t="s">
        <v>5</v>
      </c>
      <c r="B43">
        <v>5</v>
      </c>
      <c r="C43" s="1" t="s">
        <v>12</v>
      </c>
      <c r="D43">
        <v>0</v>
      </c>
      <c r="E43">
        <v>40.879686903647297</v>
      </c>
      <c r="F43">
        <v>91570.921314028106</v>
      </c>
    </row>
    <row r="44" spans="1:6" x14ac:dyDescent="0.2">
      <c r="A44" t="s">
        <v>5</v>
      </c>
      <c r="B44">
        <v>5</v>
      </c>
      <c r="C44" s="1" t="s">
        <v>12</v>
      </c>
      <c r="D44">
        <v>1</v>
      </c>
      <c r="E44">
        <v>41.688189598582703</v>
      </c>
      <c r="F44">
        <v>83600.190406776805</v>
      </c>
    </row>
    <row r="45" spans="1:6" x14ac:dyDescent="0.2">
      <c r="A45" t="s">
        <v>5</v>
      </c>
      <c r="B45">
        <v>5</v>
      </c>
      <c r="C45" s="1" t="s">
        <v>12</v>
      </c>
      <c r="D45">
        <v>2</v>
      </c>
      <c r="E45">
        <v>44.456162267173198</v>
      </c>
      <c r="F45">
        <v>80023.125670190304</v>
      </c>
    </row>
    <row r="46" spans="1:6" x14ac:dyDescent="0.2">
      <c r="A46" t="s">
        <v>5</v>
      </c>
      <c r="B46">
        <v>5</v>
      </c>
      <c r="C46" s="1" t="s">
        <v>12</v>
      </c>
      <c r="D46">
        <v>3</v>
      </c>
      <c r="E46">
        <v>45.9153329993025</v>
      </c>
      <c r="F46">
        <v>77109.750979543503</v>
      </c>
    </row>
    <row r="47" spans="1:6" x14ac:dyDescent="0.2">
      <c r="A47" t="s">
        <v>5</v>
      </c>
      <c r="B47">
        <v>5</v>
      </c>
      <c r="C47" s="1" t="s">
        <v>12</v>
      </c>
      <c r="D47">
        <v>4</v>
      </c>
      <c r="E47">
        <v>46.436412359326198</v>
      </c>
      <c r="F47">
        <v>89197.839785350297</v>
      </c>
    </row>
    <row r="48" spans="1:6" x14ac:dyDescent="0.2">
      <c r="A48" t="s">
        <v>5</v>
      </c>
      <c r="B48">
        <v>5</v>
      </c>
      <c r="C48" s="1" t="s">
        <v>12</v>
      </c>
      <c r="D48">
        <v>5</v>
      </c>
      <c r="E48">
        <v>47.235613750846497</v>
      </c>
      <c r="F48">
        <v>277601.42787629698</v>
      </c>
    </row>
    <row r="49" spans="1:6" x14ac:dyDescent="0.2">
      <c r="A49" t="s">
        <v>5</v>
      </c>
      <c r="B49">
        <v>5</v>
      </c>
      <c r="C49" s="1" t="s">
        <v>12</v>
      </c>
      <c r="D49">
        <v>6</v>
      </c>
      <c r="E49">
        <v>47.835302282363202</v>
      </c>
      <c r="F49">
        <v>394515.06110220699</v>
      </c>
    </row>
    <row r="50" spans="1:6" x14ac:dyDescent="0.2">
      <c r="A50" t="s">
        <v>5</v>
      </c>
      <c r="B50">
        <v>5</v>
      </c>
      <c r="C50" s="1" t="s">
        <v>12</v>
      </c>
      <c r="D50">
        <v>7</v>
      </c>
      <c r="E50">
        <v>49.475279556602203</v>
      </c>
      <c r="F50">
        <v>1241548.34160067</v>
      </c>
    </row>
    <row r="51" spans="1:6" x14ac:dyDescent="0.2">
      <c r="A51" t="s">
        <v>5</v>
      </c>
      <c r="B51">
        <v>5</v>
      </c>
      <c r="C51" s="1" t="s">
        <v>12</v>
      </c>
      <c r="D51">
        <v>8</v>
      </c>
      <c r="E51">
        <v>52.389790252184604</v>
      </c>
      <c r="F51">
        <v>722986.50296069495</v>
      </c>
    </row>
    <row r="52" spans="1:6" x14ac:dyDescent="0.2">
      <c r="A52" t="s">
        <v>5</v>
      </c>
      <c r="B52">
        <v>5</v>
      </c>
      <c r="C52" s="1" t="s">
        <v>12</v>
      </c>
      <c r="D52">
        <v>9</v>
      </c>
      <c r="E52">
        <v>52.955784074956199</v>
      </c>
      <c r="F52">
        <v>222975.40599420399</v>
      </c>
    </row>
    <row r="53" spans="1:6" x14ac:dyDescent="0.2">
      <c r="A53" t="s">
        <v>5</v>
      </c>
      <c r="B53">
        <v>5</v>
      </c>
      <c r="C53" s="1" t="s">
        <v>12</v>
      </c>
      <c r="D53">
        <v>10</v>
      </c>
      <c r="E53">
        <v>56.924571948892002</v>
      </c>
      <c r="F53">
        <v>156450.96782280601</v>
      </c>
    </row>
    <row r="54" spans="1:6" x14ac:dyDescent="0.2">
      <c r="A54" t="s">
        <v>5</v>
      </c>
      <c r="B54">
        <v>5</v>
      </c>
      <c r="C54" s="1" t="s">
        <v>13</v>
      </c>
      <c r="D54">
        <v>0</v>
      </c>
      <c r="E54">
        <v>48.130673527162301</v>
      </c>
      <c r="F54">
        <v>10307.933186960199</v>
      </c>
    </row>
    <row r="55" spans="1:6" x14ac:dyDescent="0.2">
      <c r="A55" t="s">
        <v>5</v>
      </c>
      <c r="B55">
        <v>5</v>
      </c>
      <c r="C55" s="1" t="s">
        <v>13</v>
      </c>
      <c r="D55">
        <v>1</v>
      </c>
      <c r="E55">
        <v>49.661443533193101</v>
      </c>
      <c r="F55">
        <v>19045.2818276373</v>
      </c>
    </row>
    <row r="56" spans="1:6" x14ac:dyDescent="0.2">
      <c r="A56" t="s">
        <v>5</v>
      </c>
      <c r="B56">
        <v>5</v>
      </c>
      <c r="C56" s="1" t="s">
        <v>13</v>
      </c>
      <c r="D56">
        <v>2</v>
      </c>
      <c r="E56">
        <v>52.593632722774103</v>
      </c>
      <c r="F56">
        <v>12440.4847164816</v>
      </c>
    </row>
    <row r="57" spans="1:6" x14ac:dyDescent="0.2">
      <c r="A57" t="s">
        <v>5</v>
      </c>
      <c r="B57">
        <v>5</v>
      </c>
      <c r="C57" s="1" t="s">
        <v>13</v>
      </c>
      <c r="D57">
        <v>3</v>
      </c>
      <c r="E57">
        <v>53.180918839599897</v>
      </c>
      <c r="F57">
        <v>4139.3213737816905</v>
      </c>
    </row>
    <row r="58" spans="1:6" x14ac:dyDescent="0.2">
      <c r="A58" t="s">
        <v>5</v>
      </c>
      <c r="B58">
        <v>5</v>
      </c>
      <c r="C58" s="1" t="s">
        <v>13</v>
      </c>
      <c r="D58">
        <v>4</v>
      </c>
      <c r="E58">
        <v>57.1340244522113</v>
      </c>
      <c r="F58">
        <v>5129.4952078481001</v>
      </c>
    </row>
    <row r="59" spans="1:6" x14ac:dyDescent="0.2">
      <c r="A59" t="s">
        <v>14</v>
      </c>
      <c r="B59">
        <v>1</v>
      </c>
      <c r="C59" s="1" t="s">
        <v>13</v>
      </c>
      <c r="D59">
        <v>0</v>
      </c>
      <c r="E59">
        <v>41.073349993582703</v>
      </c>
      <c r="F59">
        <v>5568.3022228745504</v>
      </c>
    </row>
    <row r="60" spans="1:6" x14ac:dyDescent="0.2">
      <c r="A60" t="s">
        <v>14</v>
      </c>
      <c r="B60">
        <v>1</v>
      </c>
      <c r="C60" s="1" t="s">
        <v>13</v>
      </c>
      <c r="D60">
        <v>1</v>
      </c>
      <c r="E60">
        <v>45.961762404881</v>
      </c>
      <c r="F60">
        <v>3953.4428467369198</v>
      </c>
    </row>
    <row r="61" spans="1:6" x14ac:dyDescent="0.2">
      <c r="A61" t="s">
        <v>14</v>
      </c>
      <c r="B61">
        <v>1</v>
      </c>
      <c r="C61" s="1" t="s">
        <v>13</v>
      </c>
      <c r="D61">
        <v>2</v>
      </c>
      <c r="E61">
        <v>46.453350000002999</v>
      </c>
      <c r="F61">
        <v>9596.0239110625007</v>
      </c>
    </row>
    <row r="62" spans="1:6" x14ac:dyDescent="0.2">
      <c r="A62" t="s">
        <v>14</v>
      </c>
      <c r="B62">
        <v>1</v>
      </c>
      <c r="C62" s="1" t="s">
        <v>13</v>
      </c>
      <c r="D62">
        <v>3</v>
      </c>
      <c r="E62">
        <v>47.945982029782897</v>
      </c>
      <c r="F62">
        <v>5588.0791667153999</v>
      </c>
    </row>
    <row r="63" spans="1:6" x14ac:dyDescent="0.2">
      <c r="A63" t="s">
        <v>14</v>
      </c>
      <c r="B63">
        <v>1</v>
      </c>
      <c r="C63" s="1" t="s">
        <v>13</v>
      </c>
      <c r="D63">
        <v>4</v>
      </c>
      <c r="E63">
        <v>49.567794236739701</v>
      </c>
      <c r="F63">
        <v>10373.859759999699</v>
      </c>
    </row>
    <row r="64" spans="1:6" x14ac:dyDescent="0.2">
      <c r="A64" t="s">
        <v>14</v>
      </c>
      <c r="B64">
        <v>1</v>
      </c>
      <c r="C64" s="1" t="s">
        <v>13</v>
      </c>
      <c r="D64">
        <v>5</v>
      </c>
      <c r="E64">
        <v>52.476683000001103</v>
      </c>
      <c r="F64">
        <v>6791.9697741516502</v>
      </c>
    </row>
    <row r="65" spans="1:6" x14ac:dyDescent="0.2">
      <c r="A65" t="s">
        <v>14</v>
      </c>
      <c r="B65">
        <v>1</v>
      </c>
      <c r="C65" s="1" t="s">
        <v>13</v>
      </c>
      <c r="D65">
        <v>6</v>
      </c>
      <c r="E65">
        <v>57.030017000227097</v>
      </c>
      <c r="F65">
        <v>6037.9289006884301</v>
      </c>
    </row>
    <row r="66" spans="1:6" x14ac:dyDescent="0.2">
      <c r="A66" t="s">
        <v>14</v>
      </c>
      <c r="B66">
        <v>5</v>
      </c>
      <c r="C66" s="1" t="s">
        <v>12</v>
      </c>
      <c r="D66">
        <v>0</v>
      </c>
      <c r="E66">
        <v>45.901598184492897</v>
      </c>
      <c r="F66">
        <v>5969.0609960440197</v>
      </c>
    </row>
    <row r="67" spans="1:6" x14ac:dyDescent="0.2">
      <c r="A67" t="s">
        <v>14</v>
      </c>
      <c r="B67">
        <v>5</v>
      </c>
      <c r="C67" s="1" t="s">
        <v>12</v>
      </c>
      <c r="D67">
        <v>1</v>
      </c>
      <c r="E67">
        <v>46.3815560363538</v>
      </c>
      <c r="F67">
        <v>14562.702018076099</v>
      </c>
    </row>
    <row r="68" spans="1:6" x14ac:dyDescent="0.2">
      <c r="A68" t="s">
        <v>14</v>
      </c>
      <c r="B68">
        <v>5</v>
      </c>
      <c r="C68" s="1" t="s">
        <v>12</v>
      </c>
      <c r="D68">
        <v>2</v>
      </c>
      <c r="E68">
        <v>47.8801834994212</v>
      </c>
      <c r="F68">
        <v>6561.8409896252397</v>
      </c>
    </row>
    <row r="69" spans="1:6" x14ac:dyDescent="0.2">
      <c r="A69" t="s">
        <v>14</v>
      </c>
      <c r="B69">
        <v>5</v>
      </c>
      <c r="C69" s="1" t="s">
        <v>12</v>
      </c>
      <c r="D69">
        <v>3</v>
      </c>
      <c r="E69">
        <v>49.511539708396199</v>
      </c>
      <c r="F69">
        <v>34981.695857559702</v>
      </c>
    </row>
    <row r="70" spans="1:6" x14ac:dyDescent="0.2">
      <c r="A70" t="s">
        <v>14</v>
      </c>
      <c r="B70">
        <v>5</v>
      </c>
      <c r="C70" s="1" t="s">
        <v>12</v>
      </c>
      <c r="D70">
        <v>4</v>
      </c>
      <c r="E70">
        <v>52.381518073372597</v>
      </c>
      <c r="F70">
        <v>21190.284155232101</v>
      </c>
    </row>
    <row r="71" spans="1:6" x14ac:dyDescent="0.2">
      <c r="A71" t="s">
        <v>14</v>
      </c>
      <c r="B71">
        <v>5</v>
      </c>
      <c r="C71" s="1" t="s">
        <v>12</v>
      </c>
      <c r="D71">
        <v>5</v>
      </c>
      <c r="E71">
        <v>56.932030102424697</v>
      </c>
      <c r="F71">
        <v>12344.0383347559</v>
      </c>
    </row>
    <row r="72" spans="1:6" x14ac:dyDescent="0.2">
      <c r="A72" t="s">
        <v>14</v>
      </c>
      <c r="B72">
        <v>4</v>
      </c>
      <c r="C72" s="1" t="s">
        <v>12</v>
      </c>
      <c r="D72">
        <v>0</v>
      </c>
      <c r="E72">
        <v>45.926312453465002</v>
      </c>
      <c r="F72">
        <v>13984.919925607801</v>
      </c>
    </row>
    <row r="73" spans="1:6" x14ac:dyDescent="0.2">
      <c r="A73" t="s">
        <v>14</v>
      </c>
      <c r="B73">
        <v>4</v>
      </c>
      <c r="C73" s="1" t="s">
        <v>12</v>
      </c>
      <c r="D73">
        <v>1</v>
      </c>
      <c r="E73">
        <v>46.450429730628201</v>
      </c>
      <c r="F73">
        <v>14751.5371024</v>
      </c>
    </row>
    <row r="74" spans="1:6" x14ac:dyDescent="0.2">
      <c r="A74" t="s">
        <v>14</v>
      </c>
      <c r="B74">
        <v>4</v>
      </c>
      <c r="C74" s="1" t="s">
        <v>12</v>
      </c>
      <c r="D74">
        <v>2</v>
      </c>
      <c r="E74">
        <v>47.279126576746698</v>
      </c>
      <c r="F74">
        <v>17655.336198645698</v>
      </c>
    </row>
    <row r="75" spans="1:6" x14ac:dyDescent="0.2">
      <c r="A75" t="s">
        <v>14</v>
      </c>
      <c r="B75">
        <v>4</v>
      </c>
      <c r="C75" s="1" t="s">
        <v>12</v>
      </c>
      <c r="D75">
        <v>3</v>
      </c>
      <c r="E75">
        <v>47.863693627015998</v>
      </c>
      <c r="F75">
        <v>16906.894135840699</v>
      </c>
    </row>
    <row r="76" spans="1:6" x14ac:dyDescent="0.2">
      <c r="A76" t="s">
        <v>14</v>
      </c>
      <c r="B76">
        <v>4</v>
      </c>
      <c r="C76" s="1" t="s">
        <v>12</v>
      </c>
      <c r="D76">
        <v>4</v>
      </c>
      <c r="E76">
        <v>49.518785273314599</v>
      </c>
      <c r="F76">
        <v>129097.90038044</v>
      </c>
    </row>
    <row r="77" spans="1:6" x14ac:dyDescent="0.2">
      <c r="A77" t="s">
        <v>14</v>
      </c>
      <c r="B77">
        <v>4</v>
      </c>
      <c r="C77" s="1" t="s">
        <v>12</v>
      </c>
      <c r="D77">
        <v>5</v>
      </c>
      <c r="E77">
        <v>52.425104670790397</v>
      </c>
      <c r="F77">
        <v>71466.989803018005</v>
      </c>
    </row>
    <row r="78" spans="1:6" x14ac:dyDescent="0.2">
      <c r="A78" t="s">
        <v>14</v>
      </c>
      <c r="B78">
        <v>4</v>
      </c>
      <c r="C78" s="1" t="s">
        <v>12</v>
      </c>
      <c r="D78">
        <v>6</v>
      </c>
      <c r="E78">
        <v>53.004257501953497</v>
      </c>
      <c r="F78">
        <v>17394.904305198401</v>
      </c>
    </row>
    <row r="79" spans="1:6" x14ac:dyDescent="0.2">
      <c r="A79" t="s">
        <v>14</v>
      </c>
      <c r="B79">
        <v>4</v>
      </c>
      <c r="C79" s="1" t="s">
        <v>12</v>
      </c>
      <c r="D79">
        <v>7</v>
      </c>
      <c r="E79">
        <v>57.014736778409997</v>
      </c>
      <c r="F79">
        <v>15150.5948237503</v>
      </c>
    </row>
    <row r="80" spans="1:6" x14ac:dyDescent="0.2">
      <c r="A80" t="s">
        <v>14</v>
      </c>
      <c r="B80">
        <v>2</v>
      </c>
      <c r="C80" s="1" t="s">
        <v>12</v>
      </c>
      <c r="D80">
        <v>0</v>
      </c>
      <c r="E80">
        <v>45.946761916333202</v>
      </c>
      <c r="F80">
        <v>7846.2646202978103</v>
      </c>
    </row>
    <row r="81" spans="1:6" x14ac:dyDescent="0.2">
      <c r="A81" t="s">
        <v>14</v>
      </c>
      <c r="B81">
        <v>2</v>
      </c>
      <c r="C81" s="1" t="s">
        <v>12</v>
      </c>
      <c r="D81">
        <v>1</v>
      </c>
      <c r="E81">
        <v>46.478741185604001</v>
      </c>
      <c r="F81">
        <v>8426.0373223428505</v>
      </c>
    </row>
    <row r="82" spans="1:6" x14ac:dyDescent="0.2">
      <c r="A82" t="s">
        <v>14</v>
      </c>
      <c r="B82">
        <v>2</v>
      </c>
      <c r="C82" s="1" t="s">
        <v>12</v>
      </c>
      <c r="D82">
        <v>2</v>
      </c>
      <c r="E82">
        <v>47.313472295347303</v>
      </c>
      <c r="F82">
        <v>11442.4612714576</v>
      </c>
    </row>
    <row r="83" spans="1:6" x14ac:dyDescent="0.2">
      <c r="A83" t="s">
        <v>14</v>
      </c>
      <c r="B83">
        <v>2</v>
      </c>
      <c r="C83" s="1" t="s">
        <v>12</v>
      </c>
      <c r="D83">
        <v>3</v>
      </c>
      <c r="E83">
        <v>47.881431768163097</v>
      </c>
      <c r="F83">
        <v>11917.4092154994</v>
      </c>
    </row>
    <row r="84" spans="1:6" x14ac:dyDescent="0.2">
      <c r="A84" t="s">
        <v>14</v>
      </c>
      <c r="B84">
        <v>2</v>
      </c>
      <c r="C84" s="1" t="s">
        <v>12</v>
      </c>
      <c r="D84">
        <v>4</v>
      </c>
      <c r="E84">
        <v>49.540822076148103</v>
      </c>
      <c r="F84">
        <v>82807.5532620515</v>
      </c>
    </row>
    <row r="85" spans="1:6" x14ac:dyDescent="0.2">
      <c r="A85" t="s">
        <v>14</v>
      </c>
      <c r="B85">
        <v>2</v>
      </c>
      <c r="C85" s="1" t="s">
        <v>12</v>
      </c>
      <c r="D85">
        <v>5</v>
      </c>
      <c r="E85">
        <v>52.437356245693799</v>
      </c>
      <c r="F85">
        <v>42691.024889071203</v>
      </c>
    </row>
    <row r="86" spans="1:6" x14ac:dyDescent="0.2">
      <c r="C86" s="1"/>
      <c r="F86">
        <f>SUM(F80:F85)</f>
        <v>165130.75058072037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Derrick</dc:creator>
  <cp:lastModifiedBy>Josh Derrick</cp:lastModifiedBy>
  <dcterms:created xsi:type="dcterms:W3CDTF">2026-04-07T16:01:02Z</dcterms:created>
  <dcterms:modified xsi:type="dcterms:W3CDTF">2026-05-13T15:41:44Z</dcterms:modified>
</cp:coreProperties>
</file>